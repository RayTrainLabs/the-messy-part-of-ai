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model" sheetId="1" state="visible" r:id="rId1"/>
    <sheet xmlns:r="http://schemas.openxmlformats.org/officeDocument/2006/relationships" name="Monthly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4">
    <font>
      <name val="Calibri"/>
      <family val="2"/>
      <color theme="1"/>
      <sz val="11"/>
      <scheme val="minor"/>
    </font>
    <font>
      <b val="1"/>
      <color rgb="0004564E"/>
      <sz val="16"/>
    </font>
    <font>
      <i val="1"/>
      <color rgb="00596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564E"/>
      </patternFill>
    </fill>
    <fill>
      <patternFill patternType="solid">
        <fgColor rgb="00E4E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9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90" customWidth="1" min="3" max="3"/>
  </cols>
  <sheetData>
    <row r="1">
      <c r="A1" s="1" t="inlineStr">
        <is>
          <t>What a place on the AI shortlist is worth</t>
        </is>
      </c>
    </row>
    <row r="2">
      <c r="A2" s="2" t="inlineStr">
        <is>
          <t>A model, not a case study. Replace every shaded cell with your own number. Raygency webinar, 6 November 2026.</t>
        </is>
      </c>
    </row>
    <row r="3">
      <c r="A3" s="3" t="inlineStr">
        <is>
          <t>Inputs (yours)</t>
        </is>
      </c>
      <c r="B3" s="3" t="inlineStr"/>
      <c r="C3" s="3" t="inlineStr"/>
    </row>
    <row r="4">
      <c r="A4" s="4" t="inlineStr">
        <is>
          <t>Buyers asking an AI assistant about your category, per month</t>
        </is>
      </c>
      <c r="B4" s="5" t="n">
        <v>2000</v>
      </c>
      <c r="C4" s="4" t="inlineStr">
        <is>
          <t>Ask sales: how many buyers a month research the category? Estimate the share who start in an assistant (G2 2026: 51% of B2B software buyers).</t>
        </is>
      </c>
    </row>
    <row r="5">
      <c r="A5" s="4" t="inlineStr">
        <is>
          <t>Presence today: share of answers that name you</t>
        </is>
      </c>
      <c r="B5" s="6" t="n">
        <v>0.2</v>
      </c>
      <c r="C5" s="4" t="inlineStr">
        <is>
          <t>From your twenty question baseline, five runs. See the prompt pack.</t>
        </is>
      </c>
    </row>
    <row r="6">
      <c r="A6" s="4" t="inlineStr">
        <is>
          <t>Presence target</t>
        </is>
      </c>
      <c r="B6" s="6" t="n">
        <v>0.35</v>
      </c>
      <c r="C6" s="4" t="inlineStr">
        <is>
          <t>Where you want to be in six months.</t>
        </is>
      </c>
    </row>
    <row r="7">
      <c r="A7" s="4" t="inlineStr">
        <is>
          <t>Shortlist win rate: of buyers who see you, how many become customers</t>
        </is>
      </c>
      <c r="B7" s="6" t="n">
        <v>0.1</v>
      </c>
      <c r="C7" s="4" t="inlineStr">
        <is>
          <t>Your close rate from a shortlist. Use your demo to customer rate if unsure.</t>
        </is>
      </c>
    </row>
    <row r="8">
      <c r="A8" s="4" t="inlineStr">
        <is>
          <t>Value of one customer (first year)</t>
        </is>
      </c>
      <c r="B8" s="7" t="n">
        <v>120</v>
      </c>
      <c r="C8" s="4" t="inlineStr">
        <is>
          <t>Average order, or first year contract value.</t>
        </is>
      </c>
    </row>
    <row r="9">
      <c r="A9" s="3" t="inlineStr">
        <is>
          <t>Outputs (calculated)</t>
        </is>
      </c>
      <c r="B9" s="3" t="inlineStr"/>
      <c r="C9" s="3" t="inlineStr"/>
    </row>
    <row r="10">
      <c r="A10" s="4" t="inlineStr">
        <is>
          <t>Buyers who see you today, per month</t>
        </is>
      </c>
      <c r="B10" s="8">
        <f>B4*B5</f>
        <v/>
      </c>
      <c r="C10" s="4" t="inlineStr"/>
    </row>
    <row r="11">
      <c r="A11" s="4" t="inlineStr">
        <is>
          <t>Customers from AI shortlists today, per month</t>
        </is>
      </c>
      <c r="B11" s="8">
        <f>B10*B7</f>
        <v/>
      </c>
      <c r="C11" s="4" t="inlineStr"/>
    </row>
    <row r="12">
      <c r="A12" s="4" t="inlineStr">
        <is>
          <t>Revenue from AI shortlists today, per month</t>
        </is>
      </c>
      <c r="B12" s="9">
        <f>B11*B8</f>
        <v/>
      </c>
      <c r="C12" s="4" t="inlineStr"/>
    </row>
    <row r="13">
      <c r="A13" s="4" t="inlineStr">
        <is>
          <t>Buyers who see you at target, per month</t>
        </is>
      </c>
      <c r="B13" s="8">
        <f>B4*B6</f>
        <v/>
      </c>
      <c r="C13" s="4" t="inlineStr"/>
    </row>
    <row r="14">
      <c r="A14" s="4" t="inlineStr">
        <is>
          <t>Customers at target, per month</t>
        </is>
      </c>
      <c r="B14" s="8">
        <f>B13*B7</f>
        <v/>
      </c>
      <c r="C14" s="4" t="inlineStr"/>
    </row>
    <row r="15">
      <c r="A15" s="4" t="inlineStr">
        <is>
          <t>Extra customers per month</t>
        </is>
      </c>
      <c r="B15" s="8">
        <f>B14-B11</f>
        <v/>
      </c>
      <c r="C15" s="4" t="inlineStr"/>
    </row>
    <row r="16">
      <c r="A16" s="4" t="inlineStr">
        <is>
          <t>Extra revenue per month</t>
        </is>
      </c>
      <c r="B16" s="9">
        <f>B15*B8</f>
        <v/>
      </c>
      <c r="C16" s="4" t="inlineStr"/>
    </row>
    <row r="17">
      <c r="A17" s="4" t="inlineStr">
        <is>
          <t>Extra revenue per year</t>
        </is>
      </c>
      <c r="B17" s="9">
        <f>B16*12</f>
        <v/>
      </c>
      <c r="C17" s="4" t="inlineStr"/>
    </row>
    <row r="18">
      <c r="A18" s="4" t="inlineStr">
        <is>
          <t>Break even: monthly spend this would justify at 3x return</t>
        </is>
      </c>
      <c r="B18" s="9">
        <f>B16/3</f>
        <v/>
      </c>
      <c r="C18" s="4" t="inlineStr">
        <is>
          <t>A rule of thumb, not advice. Pick your own hurdle.</t>
        </is>
      </c>
    </row>
    <row r="19">
      <c r="A19" s="4" t="n"/>
      <c r="B19" s="4" t="n"/>
      <c r="C1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2" customWidth="1" min="5" max="5"/>
    <col width="10" customWidth="1" min="6" max="6"/>
    <col width="16" customWidth="1" min="7" max="7"/>
    <col width="18" customWidth="1" min="8" max="8"/>
    <col width="18" customWidth="1" min="9" max="9"/>
    <col width="40" customWidth="1" min="10" max="10"/>
  </cols>
  <sheetData>
    <row r="1">
      <c r="A1" s="10" t="inlineStr">
        <is>
          <t>Month</t>
        </is>
      </c>
      <c r="B1" s="10" t="inlineStr">
        <is>
          <t>Questions</t>
        </is>
      </c>
      <c r="C1" s="10" t="inlineStr">
        <is>
          <t>Runs each</t>
        </is>
      </c>
      <c r="D1" s="10" t="inlineStr">
        <is>
          <t>Answers naming you</t>
        </is>
      </c>
      <c r="E1" s="10" t="inlineStr">
        <is>
          <t>Total answers</t>
        </is>
      </c>
      <c r="F1" s="10" t="inlineStr">
        <is>
          <t>Presence</t>
        </is>
      </c>
      <c r="G1" s="10" t="inlineStr">
        <is>
          <t>AI channel visits (GA4)</t>
        </is>
      </c>
      <c r="H1" s="10" t="inlineStr">
        <is>
          <t>Search Console AI impressions</t>
        </is>
      </c>
      <c r="I1" s="10" t="inlineStr">
        <is>
          <t>Form: 'AI assistant' answers</t>
        </is>
      </c>
      <c r="J1" s="10" t="inlineStr">
        <is>
          <t>What changed this month</t>
        </is>
      </c>
    </row>
    <row r="2">
      <c r="B2" t="n">
        <v>20</v>
      </c>
      <c r="C2" t="n">
        <v>5</v>
      </c>
      <c r="E2">
        <f>B2*C2</f>
        <v/>
      </c>
      <c r="F2" s="11">
        <f>IF(E2=0,"",D2/E2)</f>
        <v/>
      </c>
    </row>
    <row r="3">
      <c r="B3" t="n">
        <v>20</v>
      </c>
      <c r="C3" t="n">
        <v>5</v>
      </c>
      <c r="E3">
        <f>B3*C3</f>
        <v/>
      </c>
      <c r="F3" s="11">
        <f>IF(E3=0,"",D3/E3)</f>
        <v/>
      </c>
    </row>
    <row r="4">
      <c r="B4" t="n">
        <v>20</v>
      </c>
      <c r="C4" t="n">
        <v>5</v>
      </c>
      <c r="E4">
        <f>B4*C4</f>
        <v/>
      </c>
      <c r="F4" s="11">
        <f>IF(E4=0,"",D4/E4)</f>
        <v/>
      </c>
    </row>
    <row r="5">
      <c r="B5" t="n">
        <v>20</v>
      </c>
      <c r="C5" t="n">
        <v>5</v>
      </c>
      <c r="E5">
        <f>B5*C5</f>
        <v/>
      </c>
      <c r="F5" s="11">
        <f>IF(E5=0,"",D5/E5)</f>
        <v/>
      </c>
    </row>
    <row r="6">
      <c r="B6" t="n">
        <v>20</v>
      </c>
      <c r="C6" t="n">
        <v>5</v>
      </c>
      <c r="E6">
        <f>B6*C6</f>
        <v/>
      </c>
      <c r="F6" s="11">
        <f>IF(E6=0,"",D6/E6)</f>
        <v/>
      </c>
    </row>
    <row r="7">
      <c r="B7" t="n">
        <v>20</v>
      </c>
      <c r="C7" t="n">
        <v>5</v>
      </c>
      <c r="E7">
        <f>B7*C7</f>
        <v/>
      </c>
      <c r="F7" s="11">
        <f>IF(E7=0,"",D7/E7)</f>
        <v/>
      </c>
    </row>
    <row r="8">
      <c r="B8" t="n">
        <v>20</v>
      </c>
      <c r="C8" t="n">
        <v>5</v>
      </c>
      <c r="E8">
        <f>B8*C8</f>
        <v/>
      </c>
      <c r="F8" s="11">
        <f>IF(E8=0,"",D8/E8)</f>
        <v/>
      </c>
    </row>
    <row r="9">
      <c r="B9" t="n">
        <v>20</v>
      </c>
      <c r="C9" t="n">
        <v>5</v>
      </c>
      <c r="E9">
        <f>B9*C9</f>
        <v/>
      </c>
      <c r="F9" s="11">
        <f>IF(E9=0,"",D9/E9)</f>
        <v/>
      </c>
    </row>
    <row r="10">
      <c r="B10" t="n">
        <v>20</v>
      </c>
      <c r="C10" t="n">
        <v>5</v>
      </c>
      <c r="E10">
        <f>B10*C10</f>
        <v/>
      </c>
      <c r="F10" s="11">
        <f>IF(E10=0,"",D10/E10)</f>
        <v/>
      </c>
    </row>
    <row r="11">
      <c r="B11" t="n">
        <v>20</v>
      </c>
      <c r="C11" t="n">
        <v>5</v>
      </c>
      <c r="E11">
        <f>B11*C11</f>
        <v/>
      </c>
      <c r="F11" s="11">
        <f>IF(E11=0,"",D11/E11)</f>
        <v/>
      </c>
    </row>
    <row r="12">
      <c r="B12" t="n">
        <v>20</v>
      </c>
      <c r="C12" t="n">
        <v>5</v>
      </c>
      <c r="E12">
        <f>B12*C12</f>
        <v/>
      </c>
      <c r="F12" s="11">
        <f>IF(E12=0,"",D12/E12)</f>
        <v/>
      </c>
    </row>
    <row r="13">
      <c r="B13" t="n">
        <v>20</v>
      </c>
      <c r="C13" t="n">
        <v>5</v>
      </c>
      <c r="E13">
        <f>B13*C13</f>
        <v/>
      </c>
      <c r="F13" s="11">
        <f>IF(E13=0,"",D13/E13)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2026-10-17T16:44:07Z</dcterms:created>
  <dcterms:modified xmlns:dcterms="http://purl.org/dc/terms/" xmlns:xsi="http://www.w3.org/2001/XMLSchema-instance" xsi:type="dcterms:W3CDTF">2026-10-17T16:44:07Z</dcterms:modified>
</cp:coreProperties>
</file>